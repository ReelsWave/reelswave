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Monthly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$#,##0;($#,##0);&quot;-&quot;"/>
    <numFmt numFmtId="166" formatCode="#,##0;(#,##0);&quot;-&quot;"/>
    <numFmt numFmtId="167" formatCode="0%;(0%);&quot;-&quot;"/>
    <numFmt numFmtId="168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495057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495057"/>
      <sz val="8"/>
    </font>
    <font>
      <name val="Arial"/>
      <color rgb="000000FF"/>
      <sz val="8"/>
    </font>
    <font>
      <name val="Arial"/>
      <color rgb="00000000"/>
      <sz val="8"/>
    </font>
    <font>
      <name val="Arial"/>
      <color rgb="00008000"/>
      <sz val="8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FFFFFF"/>
      <sz val="16"/>
    </font>
    <font>
      <name val="Arial"/>
      <color rgb="00495057"/>
      <sz val="10"/>
    </font>
    <font>
      <name val="Arial"/>
      <b val="1"/>
      <color rgb="00008000"/>
      <sz val="10"/>
    </font>
    <font>
      <name val="Arial"/>
      <color rgb="00495057"/>
      <sz val="9"/>
    </font>
  </fonts>
  <fills count="7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0E0E0"/>
      </patternFill>
    </fill>
    <fill>
      <patternFill patternType="solid">
        <fgColor rgb="007C3AED"/>
      </patternFill>
    </fill>
    <fill>
      <patternFill patternType="solid">
        <fgColor rgb="00F8F9FA"/>
      </patternFill>
    </fill>
    <fill>
      <patternFill patternType="solid">
        <fgColor rgb="002D2D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3" fillId="2" borderId="0" applyAlignment="1" pivotButton="0" quotePrefix="0" xfId="0">
      <alignment horizontal="left" vertical="center" indent="2"/>
    </xf>
    <xf numFmtId="0" fontId="14" fillId="5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8" fontId="13" fillId="6" borderId="1" applyAlignment="1" pivotButton="0" quotePrefix="0" xfId="0">
      <alignment horizontal="center" vertical="center"/>
    </xf>
    <xf numFmtId="166" fontId="13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15" fillId="0" borderId="1" applyAlignment="1" pivotButton="0" quotePrefix="0" xfId="0">
      <alignment horizontal="right" vertical="center"/>
    </xf>
    <xf numFmtId="168" fontId="1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168" fontId="15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6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8" fontId="3" fillId="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44" customHeight="1">
      <c r="B1" s="1" t="inlineStr">
        <is>
          <t>ReelsWave — Financial Dashboard</t>
        </is>
      </c>
    </row>
    <row r="2" ht="22" customHeight="1">
      <c r="B2" s="2" t="inlineStr">
        <is>
          <t>12-Month Forward Projection  |  Update subscriber counts in 'Monthly Tracker'</t>
        </is>
      </c>
    </row>
    <row r="3" ht="14" customHeight="1"/>
    <row r="4" ht="18" customHeight="1">
      <c r="B4" s="3" t="inlineStr">
        <is>
          <t>KEY ANNUAL METRICS</t>
        </is>
      </c>
    </row>
    <row r="5" ht="22" customHeight="1">
      <c r="B5" s="4" t="inlineStr">
        <is>
          <t>Annual Revenue</t>
        </is>
      </c>
      <c r="C5" s="4" t="inlineStr">
        <is>
          <t>Annual Costs</t>
        </is>
      </c>
      <c r="D5" s="4" t="inlineStr">
        <is>
          <t>Net Profit</t>
        </is>
      </c>
      <c r="E5" s="4" t="inlineStr">
        <is>
          <t>Gross Margin</t>
        </is>
      </c>
      <c r="F5" s="4" t="inlineStr">
        <is>
          <t>Total Subscribers</t>
        </is>
      </c>
      <c r="G5" s="4" t="inlineStr">
        <is>
          <t>Avg MRR</t>
        </is>
      </c>
    </row>
    <row r="6" ht="40" customHeight="1">
      <c r="B6" s="5">
        <f>'Monthly Tracker'!K16</f>
        <v/>
      </c>
      <c r="C6" s="5">
        <f>'Monthly Tracker'!N16</f>
        <v/>
      </c>
      <c r="D6" s="5">
        <f>'Monthly Tracker'!O16</f>
        <v/>
      </c>
      <c r="E6" s="6">
        <f>'Monthly Tracker'!P16</f>
        <v/>
      </c>
      <c r="F6" s="7">
        <f>'Monthly Tracker'!H16</f>
        <v/>
      </c>
      <c r="G6" s="5">
        <f>IFERROR('Monthly Tracker'!K16/12,0)</f>
        <v/>
      </c>
    </row>
    <row r="7" ht="16" customHeight="1"/>
    <row r="8" ht="18" customHeight="1">
      <c r="B8" s="3" t="inlineStr">
        <is>
          <t>MONTHLY BREAKDOWN</t>
        </is>
      </c>
    </row>
    <row r="9" ht="20" customHeight="1">
      <c r="B9" s="8" t="inlineStr">
        <is>
          <t>Month</t>
        </is>
      </c>
      <c r="C9" s="8" t="inlineStr">
        <is>
          <t>Total Subs</t>
        </is>
      </c>
      <c r="D9" s="8" t="inlineStr">
        <is>
          <t>Total MRR</t>
        </is>
      </c>
      <c r="E9" s="8" t="inlineStr">
        <is>
          <t>Total Costs</t>
        </is>
      </c>
      <c r="F9" s="8" t="inlineStr">
        <is>
          <t>Net Profit</t>
        </is>
      </c>
      <c r="G9" s="8" t="inlineStr">
        <is>
          <t>Margin</t>
        </is>
      </c>
    </row>
    <row r="10" ht="18" customHeight="1">
      <c r="B10" s="9" t="inlineStr">
        <is>
          <t>Mar 2026</t>
        </is>
      </c>
      <c r="C10" s="10">
        <f>'Monthly Tracker'!H4</f>
        <v/>
      </c>
      <c r="D10" s="11">
        <f>'Monthly Tracker'!K4</f>
        <v/>
      </c>
      <c r="E10" s="11">
        <f>'Monthly Tracker'!N4</f>
        <v/>
      </c>
      <c r="F10" s="12">
        <f>'Monthly Tracker'!O4</f>
        <v/>
      </c>
      <c r="G10" s="13">
        <f>'Monthly Tracker'!P4</f>
        <v/>
      </c>
    </row>
    <row r="11" ht="18" customHeight="1">
      <c r="B11" s="14" t="inlineStr">
        <is>
          <t>Apr 2026</t>
        </is>
      </c>
      <c r="C11" s="15">
        <f>'Monthly Tracker'!H5</f>
        <v/>
      </c>
      <c r="D11" s="16">
        <f>'Monthly Tracker'!K5</f>
        <v/>
      </c>
      <c r="E11" s="16">
        <f>'Monthly Tracker'!N5</f>
        <v/>
      </c>
      <c r="F11" s="17">
        <f>'Monthly Tracker'!O5</f>
        <v/>
      </c>
      <c r="G11" s="18">
        <f>'Monthly Tracker'!P5</f>
        <v/>
      </c>
    </row>
    <row r="12" ht="18" customHeight="1">
      <c r="B12" s="9" t="inlineStr">
        <is>
          <t>May 2026</t>
        </is>
      </c>
      <c r="C12" s="10">
        <f>'Monthly Tracker'!H6</f>
        <v/>
      </c>
      <c r="D12" s="11">
        <f>'Monthly Tracker'!K6</f>
        <v/>
      </c>
      <c r="E12" s="11">
        <f>'Monthly Tracker'!N6</f>
        <v/>
      </c>
      <c r="F12" s="12">
        <f>'Monthly Tracker'!O6</f>
        <v/>
      </c>
      <c r="G12" s="13">
        <f>'Monthly Tracker'!P6</f>
        <v/>
      </c>
    </row>
    <row r="13" ht="18" customHeight="1">
      <c r="B13" s="14" t="inlineStr">
        <is>
          <t>Jun 2026</t>
        </is>
      </c>
      <c r="C13" s="15">
        <f>'Monthly Tracker'!H7</f>
        <v/>
      </c>
      <c r="D13" s="16">
        <f>'Monthly Tracker'!K7</f>
        <v/>
      </c>
      <c r="E13" s="16">
        <f>'Monthly Tracker'!N7</f>
        <v/>
      </c>
      <c r="F13" s="17">
        <f>'Monthly Tracker'!O7</f>
        <v/>
      </c>
      <c r="G13" s="18">
        <f>'Monthly Tracker'!P7</f>
        <v/>
      </c>
    </row>
    <row r="14" ht="18" customHeight="1">
      <c r="B14" s="9" t="inlineStr">
        <is>
          <t>Jul 2026</t>
        </is>
      </c>
      <c r="C14" s="10">
        <f>'Monthly Tracker'!H8</f>
        <v/>
      </c>
      <c r="D14" s="11">
        <f>'Monthly Tracker'!K8</f>
        <v/>
      </c>
      <c r="E14" s="11">
        <f>'Monthly Tracker'!N8</f>
        <v/>
      </c>
      <c r="F14" s="12">
        <f>'Monthly Tracker'!O8</f>
        <v/>
      </c>
      <c r="G14" s="13">
        <f>'Monthly Tracker'!P8</f>
        <v/>
      </c>
    </row>
    <row r="15" ht="18" customHeight="1">
      <c r="B15" s="14" t="inlineStr">
        <is>
          <t>Aug 2026</t>
        </is>
      </c>
      <c r="C15" s="15">
        <f>'Monthly Tracker'!H9</f>
        <v/>
      </c>
      <c r="D15" s="16">
        <f>'Monthly Tracker'!K9</f>
        <v/>
      </c>
      <c r="E15" s="16">
        <f>'Monthly Tracker'!N9</f>
        <v/>
      </c>
      <c r="F15" s="17">
        <f>'Monthly Tracker'!O9</f>
        <v/>
      </c>
      <c r="G15" s="18">
        <f>'Monthly Tracker'!P9</f>
        <v/>
      </c>
    </row>
    <row r="16" ht="18" customHeight="1">
      <c r="B16" s="9" t="inlineStr">
        <is>
          <t>Sep 2026</t>
        </is>
      </c>
      <c r="C16" s="10">
        <f>'Monthly Tracker'!H10</f>
        <v/>
      </c>
      <c r="D16" s="11">
        <f>'Monthly Tracker'!K10</f>
        <v/>
      </c>
      <c r="E16" s="11">
        <f>'Monthly Tracker'!N10</f>
        <v/>
      </c>
      <c r="F16" s="12">
        <f>'Monthly Tracker'!O10</f>
        <v/>
      </c>
      <c r="G16" s="13">
        <f>'Monthly Tracker'!P10</f>
        <v/>
      </c>
    </row>
    <row r="17" ht="18" customHeight="1">
      <c r="B17" s="14" t="inlineStr">
        <is>
          <t>Oct 2026</t>
        </is>
      </c>
      <c r="C17" s="15">
        <f>'Monthly Tracker'!H11</f>
        <v/>
      </c>
      <c r="D17" s="16">
        <f>'Monthly Tracker'!K11</f>
        <v/>
      </c>
      <c r="E17" s="16">
        <f>'Monthly Tracker'!N11</f>
        <v/>
      </c>
      <c r="F17" s="17">
        <f>'Monthly Tracker'!O11</f>
        <v/>
      </c>
      <c r="G17" s="18">
        <f>'Monthly Tracker'!P11</f>
        <v/>
      </c>
    </row>
    <row r="18" ht="18" customHeight="1">
      <c r="B18" s="9" t="inlineStr">
        <is>
          <t>Nov 2026</t>
        </is>
      </c>
      <c r="C18" s="10">
        <f>'Monthly Tracker'!H12</f>
        <v/>
      </c>
      <c r="D18" s="11">
        <f>'Monthly Tracker'!K12</f>
        <v/>
      </c>
      <c r="E18" s="11">
        <f>'Monthly Tracker'!N12</f>
        <v/>
      </c>
      <c r="F18" s="12">
        <f>'Monthly Tracker'!O12</f>
        <v/>
      </c>
      <c r="G18" s="13">
        <f>'Monthly Tracker'!P12</f>
        <v/>
      </c>
    </row>
    <row r="19" ht="18" customHeight="1">
      <c r="B19" s="14" t="inlineStr">
        <is>
          <t>Dec 2026</t>
        </is>
      </c>
      <c r="C19" s="15">
        <f>'Monthly Tracker'!H13</f>
        <v/>
      </c>
      <c r="D19" s="16">
        <f>'Monthly Tracker'!K13</f>
        <v/>
      </c>
      <c r="E19" s="16">
        <f>'Monthly Tracker'!N13</f>
        <v/>
      </c>
      <c r="F19" s="17">
        <f>'Monthly Tracker'!O13</f>
        <v/>
      </c>
      <c r="G19" s="18">
        <f>'Monthly Tracker'!P13</f>
        <v/>
      </c>
    </row>
    <row r="20" ht="18" customHeight="1">
      <c r="B20" s="9" t="inlineStr">
        <is>
          <t>Jan 2027</t>
        </is>
      </c>
      <c r="C20" s="10">
        <f>'Monthly Tracker'!H14</f>
        <v/>
      </c>
      <c r="D20" s="11">
        <f>'Monthly Tracker'!K14</f>
        <v/>
      </c>
      <c r="E20" s="11">
        <f>'Monthly Tracker'!N14</f>
        <v/>
      </c>
      <c r="F20" s="12">
        <f>'Monthly Tracker'!O14</f>
        <v/>
      </c>
      <c r="G20" s="13">
        <f>'Monthly Tracker'!P14</f>
        <v/>
      </c>
    </row>
    <row r="21" ht="18" customHeight="1">
      <c r="B21" s="14" t="inlineStr">
        <is>
          <t>Feb 2027</t>
        </is>
      </c>
      <c r="C21" s="15">
        <f>'Monthly Tracker'!H15</f>
        <v/>
      </c>
      <c r="D21" s="16">
        <f>'Monthly Tracker'!K15</f>
        <v/>
      </c>
      <c r="E21" s="16">
        <f>'Monthly Tracker'!N15</f>
        <v/>
      </c>
      <c r="F21" s="17">
        <f>'Monthly Tracker'!O15</f>
        <v/>
      </c>
      <c r="G21" s="18">
        <f>'Monthly Tracker'!P15</f>
        <v/>
      </c>
    </row>
    <row r="22" ht="22" customHeight="1">
      <c r="B22" s="19" t="inlineStr">
        <is>
          <t>ANNUAL TOTAL</t>
        </is>
      </c>
      <c r="C22" s="20">
        <f>'Monthly Tracker'!H16</f>
        <v/>
      </c>
      <c r="D22" s="21">
        <f>'Monthly Tracker'!K16</f>
        <v/>
      </c>
      <c r="E22" s="21">
        <f>'Monthly Tracker'!N16</f>
        <v/>
      </c>
      <c r="F22" s="21">
        <f>'Monthly Tracker'!O16</f>
        <v/>
      </c>
      <c r="G22" s="22">
        <f>'Monthly Tracker'!P16</f>
        <v/>
      </c>
    </row>
    <row r="24" ht="18" customHeight="1">
      <c r="B24" s="3" t="inlineStr">
        <is>
          <t>HOW TO USE</t>
        </is>
      </c>
    </row>
    <row r="25" ht="16" customHeight="1">
      <c r="B25" s="23" t="inlineStr">
        <is>
          <t>1.  Assumptions tab → update any API costs or plan pricing (blue cells).</t>
        </is>
      </c>
    </row>
    <row r="26" ht="16" customHeight="1">
      <c r="B26" s="23" t="inlineStr">
        <is>
          <t>2.  Monthly Tracker tab → enter your subscriber count per plan each month (blue cells).</t>
        </is>
      </c>
    </row>
    <row r="27" ht="16" customHeight="1">
      <c r="B27" s="23" t="inlineStr">
        <is>
          <t>3.  All revenue, costs, and profit calculate automatically from those two inputs.</t>
        </is>
      </c>
    </row>
    <row r="28" ht="16" customHeight="1">
      <c r="B28" s="23" t="inlineStr">
        <is>
          <t>4.  This dashboard reflects the tracker in real time — no manual updates needed.</t>
        </is>
      </c>
    </row>
  </sheetData>
  <mergeCells count="9">
    <mergeCell ref="B24:G24"/>
    <mergeCell ref="B2:G2"/>
    <mergeCell ref="B28:G28"/>
    <mergeCell ref="B27:G27"/>
    <mergeCell ref="B1:G1"/>
    <mergeCell ref="B8:G8"/>
    <mergeCell ref="B4:G4"/>
    <mergeCell ref="B26:G26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2" customWidth="1" min="4" max="4"/>
  </cols>
  <sheetData>
    <row r="1" ht="32" customHeight="1">
      <c r="A1" s="24" t="inlineStr">
        <is>
          <t>ReelsWave — Cost &amp; Pricing Assumptions</t>
        </is>
      </c>
    </row>
    <row r="3" ht="18" customHeight="1">
      <c r="A3" s="3" t="inlineStr">
        <is>
          <t>COST PER VIDEO</t>
        </is>
      </c>
    </row>
    <row r="4" ht="22" customHeight="1">
      <c r="A4" s="25" t="inlineStr">
        <is>
          <t>Component</t>
        </is>
      </c>
      <c r="B4" s="25" t="inlineStr">
        <is>
          <t>Cost ($)</t>
        </is>
      </c>
    </row>
    <row r="5">
      <c r="A5" s="9" t="inlineStr">
        <is>
          <t>Images (AI generation)</t>
        </is>
      </c>
      <c r="B5" s="26" t="n">
        <v>0.05</v>
      </c>
    </row>
    <row r="6">
      <c r="A6" s="9" t="inlineStr">
        <is>
          <t>ElevenLabs — Short Form (30–60s)</t>
        </is>
      </c>
      <c r="B6" s="26" t="n">
        <v>0.2</v>
      </c>
    </row>
    <row r="7">
      <c r="A7" s="9" t="inlineStr">
        <is>
          <t>ElevenLabs — Long Form (60–90s)</t>
        </is>
      </c>
      <c r="B7" s="26" t="n">
        <v>0.3</v>
      </c>
    </row>
    <row r="8">
      <c r="A8" s="9" t="inlineStr">
        <is>
          <t>Gemini (Script Generation)</t>
        </is>
      </c>
      <c r="B8" s="26" t="n">
        <v>0.01</v>
      </c>
    </row>
    <row r="9">
      <c r="A9" s="27" t="inlineStr">
        <is>
          <t>Total Cost — Short Form</t>
        </is>
      </c>
      <c r="B9" s="28">
        <f>B5+B6+B8</f>
        <v/>
      </c>
    </row>
    <row r="10">
      <c r="A10" s="27" t="inlineStr">
        <is>
          <t>Total Cost — Long Form</t>
        </is>
      </c>
      <c r="B10" s="28">
        <f>B5+B7+B8</f>
        <v/>
      </c>
    </row>
    <row r="12" ht="18" customHeight="1">
      <c r="A12" s="3" t="inlineStr">
        <is>
          <t>PLAN PRICING — MONTHLY</t>
        </is>
      </c>
    </row>
    <row r="13" ht="22" customHeight="1">
      <c r="A13" s="25" t="inlineStr">
        <is>
          <t>Plan</t>
        </is>
      </c>
      <c r="B13" s="25" t="inlineStr">
        <is>
          <t>Price / Mo ($)</t>
        </is>
      </c>
      <c r="C13" s="25" t="inlineStr">
        <is>
          <t>Videos / Mo</t>
        </is>
      </c>
      <c r="D13" s="25" t="inlineStr">
        <is>
          <t>% Long Form</t>
        </is>
      </c>
    </row>
    <row r="14">
      <c r="A14" s="9" t="inlineStr">
        <is>
          <t>Starter Monthly</t>
        </is>
      </c>
      <c r="B14" s="29" t="n">
        <v>9</v>
      </c>
      <c r="C14" s="30" t="n">
        <v>12</v>
      </c>
      <c r="D14" s="31" t="n">
        <v>0.5</v>
      </c>
    </row>
    <row r="15">
      <c r="A15" s="9" t="inlineStr">
        <is>
          <t>Pro Monthly</t>
        </is>
      </c>
      <c r="B15" s="29" t="n">
        <v>29</v>
      </c>
      <c r="C15" s="30" t="n">
        <v>30</v>
      </c>
      <c r="D15" s="31" t="n">
        <v>0.6</v>
      </c>
    </row>
    <row r="16">
      <c r="A16" s="9" t="inlineStr">
        <is>
          <t>Dedicated Monthly</t>
        </is>
      </c>
      <c r="B16" s="29" t="n">
        <v>79</v>
      </c>
      <c r="C16" s="30" t="n">
        <v>90</v>
      </c>
      <c r="D16" s="31" t="n">
        <v>0.7</v>
      </c>
    </row>
    <row r="18" ht="18" customHeight="1">
      <c r="A18" s="3" t="inlineStr">
        <is>
          <t>PLAN PRICING — YEARLY (billed annually)</t>
        </is>
      </c>
    </row>
    <row r="19" ht="22" customHeight="1">
      <c r="A19" s="25" t="inlineStr">
        <is>
          <t>Plan</t>
        </is>
      </c>
      <c r="B19" s="25" t="inlineStr">
        <is>
          <t>Price / Yr ($)</t>
        </is>
      </c>
      <c r="C19" s="25" t="inlineStr">
        <is>
          <t>Videos / Mo</t>
        </is>
      </c>
      <c r="D19" s="25" t="inlineStr">
        <is>
          <t>% Long Form</t>
        </is>
      </c>
    </row>
    <row r="20">
      <c r="A20" s="9" t="inlineStr">
        <is>
          <t>Starter Yearly</t>
        </is>
      </c>
      <c r="B20" s="29" t="n">
        <v>90</v>
      </c>
      <c r="C20" s="30" t="n">
        <v>12</v>
      </c>
      <c r="D20" s="31" t="n">
        <v>0.5</v>
      </c>
    </row>
    <row r="21">
      <c r="A21" s="9" t="inlineStr">
        <is>
          <t>Pro Yearly</t>
        </is>
      </c>
      <c r="B21" s="29" t="n">
        <v>290</v>
      </c>
      <c r="C21" s="30" t="n">
        <v>30</v>
      </c>
      <c r="D21" s="31" t="n">
        <v>0.6</v>
      </c>
    </row>
    <row r="22">
      <c r="A22" s="9" t="inlineStr">
        <is>
          <t>Dedicated Yearly</t>
        </is>
      </c>
      <c r="B22" s="29" t="n">
        <v>790</v>
      </c>
      <c r="C22" s="30" t="n">
        <v>90</v>
      </c>
      <c r="D22" s="31" t="n">
        <v>0.7</v>
      </c>
    </row>
    <row r="24" ht="18" customHeight="1">
      <c r="A24" s="3" t="inlineStr">
        <is>
          <t>FIXED MONTHLY COSTS</t>
        </is>
      </c>
    </row>
    <row r="25" ht="22" customHeight="1">
      <c r="A25" s="25" t="inlineStr">
        <is>
          <t>Item</t>
        </is>
      </c>
      <c r="B25" s="25" t="inlineStr">
        <is>
          <t>Cost / Mo ($)</t>
        </is>
      </c>
    </row>
    <row r="26">
      <c r="A26" s="9" t="inlineStr">
        <is>
          <t>Railway (Hosting)</t>
        </is>
      </c>
      <c r="B26" s="29" t="n">
        <v>0</v>
      </c>
    </row>
    <row r="27">
      <c r="A27" s="9" t="inlineStr">
        <is>
          <t>Supabase (Database)</t>
        </is>
      </c>
      <c r="B27" s="29" t="n">
        <v>0</v>
      </c>
    </row>
    <row r="28">
      <c r="A28" s="9" t="inlineStr">
        <is>
          <t>Domain / DNS</t>
        </is>
      </c>
      <c r="B28" s="29" t="n">
        <v>1</v>
      </c>
    </row>
    <row r="29">
      <c r="A29" s="9" t="inlineStr">
        <is>
          <t>ElevenLabs Base Subscription</t>
        </is>
      </c>
      <c r="B29" s="29" t="n">
        <v>0</v>
      </c>
    </row>
    <row r="30">
      <c r="A30" s="9" t="inlineStr">
        <is>
          <t>Other</t>
        </is>
      </c>
      <c r="B30" s="29" t="n">
        <v>0</v>
      </c>
    </row>
    <row r="31">
      <c r="A31" s="27" t="inlineStr">
        <is>
          <t>Total Fixed Monthly</t>
        </is>
      </c>
      <c r="B31" s="32">
        <f>SUM(B26:B30)</f>
        <v/>
      </c>
    </row>
    <row r="33">
      <c r="A33" s="33" t="inlineStr">
        <is>
          <t>Color Guide:</t>
        </is>
      </c>
    </row>
    <row r="34">
      <c r="A34" s="34" t="inlineStr">
        <is>
          <t xml:space="preserve">  Blue  = Input (edit these)</t>
        </is>
      </c>
    </row>
    <row r="35">
      <c r="A35" s="35" t="inlineStr">
        <is>
          <t xml:space="preserve">  Black = Formula (do not edit)</t>
        </is>
      </c>
    </row>
    <row r="36">
      <c r="A36" s="36" t="inlineStr">
        <is>
          <t xml:space="preserve">  Green = Cross-sheet link</t>
        </is>
      </c>
    </row>
  </sheetData>
  <mergeCells count="5">
    <mergeCell ref="A1:D1"/>
    <mergeCell ref="A18:D18"/>
    <mergeCell ref="A12:D12"/>
    <mergeCell ref="A3:D3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4" customWidth="1" min="4" max="4"/>
    <col width="13" customWidth="1" min="5" max="5"/>
    <col width="11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2" customWidth="1" min="16" max="16"/>
  </cols>
  <sheetData>
    <row r="1" ht="32" customHeight="1">
      <c r="A1" s="24" t="inlineStr">
        <is>
          <t>ReelsWave — Monthly Revenue &amp; Cost Tracker</t>
        </is>
      </c>
    </row>
    <row r="2" ht="18" customHeight="1">
      <c r="A2" s="37" t="inlineStr"/>
      <c r="B2" s="38" t="inlineStr">
        <is>
          <t>SUBSCRIBERS  ←  enter values here</t>
        </is>
      </c>
      <c r="H2" s="37" t="inlineStr"/>
      <c r="I2" s="38" t="inlineStr">
        <is>
          <t>REVENUE</t>
        </is>
      </c>
      <c r="L2" s="38" t="inlineStr">
        <is>
          <t>COSTS</t>
        </is>
      </c>
      <c r="O2" s="38" t="inlineStr">
        <is>
          <t>PROFIT</t>
        </is>
      </c>
    </row>
    <row r="3" ht="36" customHeight="1">
      <c r="A3" s="39" t="inlineStr">
        <is>
          <t>Month</t>
        </is>
      </c>
      <c r="B3" s="39" t="inlineStr">
        <is>
          <t>Starter
(Mo)</t>
        </is>
      </c>
      <c r="C3" s="39" t="inlineStr">
        <is>
          <t>Pro
(Mo)</t>
        </is>
      </c>
      <c r="D3" s="39" t="inlineStr">
        <is>
          <t>Dedicated
(Mo)</t>
        </is>
      </c>
      <c r="E3" s="39" t="inlineStr">
        <is>
          <t>Starter
(Yr)</t>
        </is>
      </c>
      <c r="F3" s="39" t="inlineStr">
        <is>
          <t>Pro
(Yr)</t>
        </is>
      </c>
      <c r="G3" s="39" t="inlineStr">
        <is>
          <t>Dedicated
(Yr)</t>
        </is>
      </c>
      <c r="H3" s="39" t="inlineStr">
        <is>
          <t>Total
Subs</t>
        </is>
      </c>
      <c r="I3" s="39" t="inlineStr">
        <is>
          <t>MRR
Monthly</t>
        </is>
      </c>
      <c r="J3" s="39" t="inlineStr">
        <is>
          <t>MRR
Yearly</t>
        </is>
      </c>
      <c r="K3" s="39" t="inlineStr">
        <is>
          <t>Total
MRR</t>
        </is>
      </c>
      <c r="L3" s="39" t="inlineStr">
        <is>
          <t>Variable
Costs</t>
        </is>
      </c>
      <c r="M3" s="39" t="inlineStr">
        <is>
          <t>Fixed
Costs</t>
        </is>
      </c>
      <c r="N3" s="39" t="inlineStr">
        <is>
          <t>Total
Costs</t>
        </is>
      </c>
      <c r="O3" s="39" t="inlineStr">
        <is>
          <t>Net
Profit</t>
        </is>
      </c>
      <c r="P3" s="39" t="inlineStr">
        <is>
          <t>Margin</t>
        </is>
      </c>
    </row>
    <row r="4">
      <c r="A4" s="40" t="inlineStr">
        <is>
          <t>Mar 2026</t>
        </is>
      </c>
      <c r="B4" s="30" t="n">
        <v>0</v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0</v>
      </c>
      <c r="H4" s="41">
        <f>SUM(B4:G4)</f>
        <v/>
      </c>
      <c r="I4" s="11">
        <f>B4*Assumptions!B14+C4*Assumptions!B15+D4*Assumptions!B16</f>
        <v/>
      </c>
      <c r="J4" s="11">
        <f>E4*Assumptions!B20/12+F4*Assumptions!B21/12+G4*Assumptions!B22/12</f>
        <v/>
      </c>
      <c r="K4" s="42">
        <f>I4+J4</f>
        <v/>
      </c>
      <c r="L4" s="11">
        <f>B4*Assumptions!C14*(Assumptions!D14*Assumptions!B10+(1-Assumptions!D14)*Assumptions!B9)+C4*Assumptions!C15*(Assumptions!D15*Assumptions!B10+(1-Assumptions!D15)*Assumptions!B9)+D4*Assumptions!C16*(Assumptions!D16*Assumptions!B10+(1-Assumptions!D16)*Assumptions!B9)+E4*Assumptions!C20*(Assumptions!D20*Assumptions!B10+(1-Assumptions!D20)*Assumptions!B9)+F4*Assumptions!C21*(Assumptions!D21*Assumptions!B10+(1-Assumptions!D21)*Assumptions!B9)+G4*Assumptions!C22*(Assumptions!D22*Assumptions!B10+(1-Assumptions!D22)*Assumptions!B9)</f>
        <v/>
      </c>
      <c r="M4" s="43">
        <f>Assumptions!B31</f>
        <v/>
      </c>
      <c r="N4" s="42">
        <f>L4+M4</f>
        <v/>
      </c>
      <c r="O4" s="42">
        <f>K4-N4</f>
        <v/>
      </c>
      <c r="P4" s="44">
        <f>IFERROR((K4-N4)/K4,0)</f>
        <v/>
      </c>
    </row>
    <row r="5">
      <c r="A5" s="27" t="inlineStr">
        <is>
          <t>Apr 2026</t>
        </is>
      </c>
      <c r="B5" s="45" t="n">
        <v>0</v>
      </c>
      <c r="C5" s="45" t="n">
        <v>0</v>
      </c>
      <c r="D5" s="45" t="n">
        <v>0</v>
      </c>
      <c r="E5" s="45" t="n">
        <v>0</v>
      </c>
      <c r="F5" s="45" t="n">
        <v>0</v>
      </c>
      <c r="G5" s="45" t="n">
        <v>0</v>
      </c>
      <c r="H5" s="46">
        <f>SUM(B5:G5)</f>
        <v/>
      </c>
      <c r="I5" s="16">
        <f>B5*Assumptions!B14+C5*Assumptions!B15+D5*Assumptions!B16</f>
        <v/>
      </c>
      <c r="J5" s="16">
        <f>E5*Assumptions!B20/12+F5*Assumptions!B21/12+G5*Assumptions!B22/12</f>
        <v/>
      </c>
      <c r="K5" s="32">
        <f>I5+J5</f>
        <v/>
      </c>
      <c r="L5" s="16">
        <f>B5*Assumptions!C14*(Assumptions!D14*Assumptions!B10+(1-Assumptions!D14)*Assumptions!B9)+C5*Assumptions!C15*(Assumptions!D15*Assumptions!B10+(1-Assumptions!D15)*Assumptions!B9)+D5*Assumptions!C16*(Assumptions!D16*Assumptions!B10+(1-Assumptions!D16)*Assumptions!B9)+E5*Assumptions!C20*(Assumptions!D20*Assumptions!B10+(1-Assumptions!D20)*Assumptions!B9)+F5*Assumptions!C21*(Assumptions!D21*Assumptions!B10+(1-Assumptions!D21)*Assumptions!B9)+G5*Assumptions!C22*(Assumptions!D22*Assumptions!B10+(1-Assumptions!D22)*Assumptions!B9)</f>
        <v/>
      </c>
      <c r="M5" s="47">
        <f>Assumptions!B31</f>
        <v/>
      </c>
      <c r="N5" s="32">
        <f>L5+M5</f>
        <v/>
      </c>
      <c r="O5" s="32">
        <f>K5-N5</f>
        <v/>
      </c>
      <c r="P5" s="48">
        <f>IFERROR((K5-N5)/K5,0)</f>
        <v/>
      </c>
    </row>
    <row r="6">
      <c r="A6" s="40" t="inlineStr">
        <is>
          <t>May 2026</t>
        </is>
      </c>
      <c r="B6" s="30" t="n">
        <v>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41">
        <f>SUM(B6:G6)</f>
        <v/>
      </c>
      <c r="I6" s="11">
        <f>B6*Assumptions!B14+C6*Assumptions!B15+D6*Assumptions!B16</f>
        <v/>
      </c>
      <c r="J6" s="11">
        <f>E6*Assumptions!B20/12+F6*Assumptions!B21/12+G6*Assumptions!B22/12</f>
        <v/>
      </c>
      <c r="K6" s="42">
        <f>I6+J6</f>
        <v/>
      </c>
      <c r="L6" s="11">
        <f>B6*Assumptions!C14*(Assumptions!D14*Assumptions!B10+(1-Assumptions!D14)*Assumptions!B9)+C6*Assumptions!C15*(Assumptions!D15*Assumptions!B10+(1-Assumptions!D15)*Assumptions!B9)+D6*Assumptions!C16*(Assumptions!D16*Assumptions!B10+(1-Assumptions!D16)*Assumptions!B9)+E6*Assumptions!C20*(Assumptions!D20*Assumptions!B10+(1-Assumptions!D20)*Assumptions!B9)+F6*Assumptions!C21*(Assumptions!D21*Assumptions!B10+(1-Assumptions!D21)*Assumptions!B9)+G6*Assumptions!C22*(Assumptions!D22*Assumptions!B10+(1-Assumptions!D22)*Assumptions!B9)</f>
        <v/>
      </c>
      <c r="M6" s="43">
        <f>Assumptions!B31</f>
        <v/>
      </c>
      <c r="N6" s="42">
        <f>L6+M6</f>
        <v/>
      </c>
      <c r="O6" s="42">
        <f>K6-N6</f>
        <v/>
      </c>
      <c r="P6" s="44">
        <f>IFERROR((K6-N6)/K6,0)</f>
        <v/>
      </c>
    </row>
    <row r="7">
      <c r="A7" s="27" t="inlineStr">
        <is>
          <t>Jun 2026</t>
        </is>
      </c>
      <c r="B7" s="45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6">
        <f>SUM(B7:G7)</f>
        <v/>
      </c>
      <c r="I7" s="16">
        <f>B7*Assumptions!B14+C7*Assumptions!B15+D7*Assumptions!B16</f>
        <v/>
      </c>
      <c r="J7" s="16">
        <f>E7*Assumptions!B20/12+F7*Assumptions!B21/12+G7*Assumptions!B22/12</f>
        <v/>
      </c>
      <c r="K7" s="32">
        <f>I7+J7</f>
        <v/>
      </c>
      <c r="L7" s="16">
        <f>B7*Assumptions!C14*(Assumptions!D14*Assumptions!B10+(1-Assumptions!D14)*Assumptions!B9)+C7*Assumptions!C15*(Assumptions!D15*Assumptions!B10+(1-Assumptions!D15)*Assumptions!B9)+D7*Assumptions!C16*(Assumptions!D16*Assumptions!B10+(1-Assumptions!D16)*Assumptions!B9)+E7*Assumptions!C20*(Assumptions!D20*Assumptions!B10+(1-Assumptions!D20)*Assumptions!B9)+F7*Assumptions!C21*(Assumptions!D21*Assumptions!B10+(1-Assumptions!D21)*Assumptions!B9)+G7*Assumptions!C22*(Assumptions!D22*Assumptions!B10+(1-Assumptions!D22)*Assumptions!B9)</f>
        <v/>
      </c>
      <c r="M7" s="47">
        <f>Assumptions!B31</f>
        <v/>
      </c>
      <c r="N7" s="32">
        <f>L7+M7</f>
        <v/>
      </c>
      <c r="O7" s="32">
        <f>K7-N7</f>
        <v/>
      </c>
      <c r="P7" s="48">
        <f>IFERROR((K7-N7)/K7,0)</f>
        <v/>
      </c>
    </row>
    <row r="8">
      <c r="A8" s="40" t="inlineStr">
        <is>
          <t>Jul 2026</t>
        </is>
      </c>
      <c r="B8" s="30" t="n">
        <v>0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41">
        <f>SUM(B8:G8)</f>
        <v/>
      </c>
      <c r="I8" s="11">
        <f>B8*Assumptions!B14+C8*Assumptions!B15+D8*Assumptions!B16</f>
        <v/>
      </c>
      <c r="J8" s="11">
        <f>E8*Assumptions!B20/12+F8*Assumptions!B21/12+G8*Assumptions!B22/12</f>
        <v/>
      </c>
      <c r="K8" s="42">
        <f>I8+J8</f>
        <v/>
      </c>
      <c r="L8" s="11">
        <f>B8*Assumptions!C14*(Assumptions!D14*Assumptions!B10+(1-Assumptions!D14)*Assumptions!B9)+C8*Assumptions!C15*(Assumptions!D15*Assumptions!B10+(1-Assumptions!D15)*Assumptions!B9)+D8*Assumptions!C16*(Assumptions!D16*Assumptions!B10+(1-Assumptions!D16)*Assumptions!B9)+E8*Assumptions!C20*(Assumptions!D20*Assumptions!B10+(1-Assumptions!D20)*Assumptions!B9)+F8*Assumptions!C21*(Assumptions!D21*Assumptions!B10+(1-Assumptions!D21)*Assumptions!B9)+G8*Assumptions!C22*(Assumptions!D22*Assumptions!B10+(1-Assumptions!D22)*Assumptions!B9)</f>
        <v/>
      </c>
      <c r="M8" s="43">
        <f>Assumptions!B31</f>
        <v/>
      </c>
      <c r="N8" s="42">
        <f>L8+M8</f>
        <v/>
      </c>
      <c r="O8" s="42">
        <f>K8-N8</f>
        <v/>
      </c>
      <c r="P8" s="44">
        <f>IFERROR((K8-N8)/K8,0)</f>
        <v/>
      </c>
    </row>
    <row r="9">
      <c r="A9" s="27" t="inlineStr">
        <is>
          <t>Aug 2026</t>
        </is>
      </c>
      <c r="B9" s="45" t="n">
        <v>0</v>
      </c>
      <c r="C9" s="45" t="n">
        <v>0</v>
      </c>
      <c r="D9" s="45" t="n">
        <v>0</v>
      </c>
      <c r="E9" s="45" t="n">
        <v>0</v>
      </c>
      <c r="F9" s="45" t="n">
        <v>0</v>
      </c>
      <c r="G9" s="45" t="n">
        <v>0</v>
      </c>
      <c r="H9" s="46">
        <f>SUM(B9:G9)</f>
        <v/>
      </c>
      <c r="I9" s="16">
        <f>B9*Assumptions!B14+C9*Assumptions!B15+D9*Assumptions!B16</f>
        <v/>
      </c>
      <c r="J9" s="16">
        <f>E9*Assumptions!B20/12+F9*Assumptions!B21/12+G9*Assumptions!B22/12</f>
        <v/>
      </c>
      <c r="K9" s="32">
        <f>I9+J9</f>
        <v/>
      </c>
      <c r="L9" s="16">
        <f>B9*Assumptions!C14*(Assumptions!D14*Assumptions!B10+(1-Assumptions!D14)*Assumptions!B9)+C9*Assumptions!C15*(Assumptions!D15*Assumptions!B10+(1-Assumptions!D15)*Assumptions!B9)+D9*Assumptions!C16*(Assumptions!D16*Assumptions!B10+(1-Assumptions!D16)*Assumptions!B9)+E9*Assumptions!C20*(Assumptions!D20*Assumptions!B10+(1-Assumptions!D20)*Assumptions!B9)+F9*Assumptions!C21*(Assumptions!D21*Assumptions!B10+(1-Assumptions!D21)*Assumptions!B9)+G9*Assumptions!C22*(Assumptions!D22*Assumptions!B10+(1-Assumptions!D22)*Assumptions!B9)</f>
        <v/>
      </c>
      <c r="M9" s="47">
        <f>Assumptions!B31</f>
        <v/>
      </c>
      <c r="N9" s="32">
        <f>L9+M9</f>
        <v/>
      </c>
      <c r="O9" s="32">
        <f>K9-N9</f>
        <v/>
      </c>
      <c r="P9" s="48">
        <f>IFERROR((K9-N9)/K9,0)</f>
        <v/>
      </c>
    </row>
    <row r="10">
      <c r="A10" s="40" t="inlineStr">
        <is>
          <t>Sep 2026</t>
        </is>
      </c>
      <c r="B10" s="30" t="n">
        <v>0</v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41">
        <f>SUM(B10:G10)</f>
        <v/>
      </c>
      <c r="I10" s="11">
        <f>B10*Assumptions!B14+C10*Assumptions!B15+D10*Assumptions!B16</f>
        <v/>
      </c>
      <c r="J10" s="11">
        <f>E10*Assumptions!B20/12+F10*Assumptions!B21/12+G10*Assumptions!B22/12</f>
        <v/>
      </c>
      <c r="K10" s="42">
        <f>I10+J10</f>
        <v/>
      </c>
      <c r="L10" s="11">
        <f>B10*Assumptions!C14*(Assumptions!D14*Assumptions!B10+(1-Assumptions!D14)*Assumptions!B9)+C10*Assumptions!C15*(Assumptions!D15*Assumptions!B10+(1-Assumptions!D15)*Assumptions!B9)+D10*Assumptions!C16*(Assumptions!D16*Assumptions!B10+(1-Assumptions!D16)*Assumptions!B9)+E10*Assumptions!C20*(Assumptions!D20*Assumptions!B10+(1-Assumptions!D20)*Assumptions!B9)+F10*Assumptions!C21*(Assumptions!D21*Assumptions!B10+(1-Assumptions!D21)*Assumptions!B9)+G10*Assumptions!C22*(Assumptions!D22*Assumptions!B10+(1-Assumptions!D22)*Assumptions!B9)</f>
        <v/>
      </c>
      <c r="M10" s="43">
        <f>Assumptions!B31</f>
        <v/>
      </c>
      <c r="N10" s="42">
        <f>L10+M10</f>
        <v/>
      </c>
      <c r="O10" s="42">
        <f>K10-N10</f>
        <v/>
      </c>
      <c r="P10" s="44">
        <f>IFERROR((K10-N10)/K10,0)</f>
        <v/>
      </c>
    </row>
    <row r="11">
      <c r="A11" s="27" t="inlineStr">
        <is>
          <t>Oct 2026</t>
        </is>
      </c>
      <c r="B11" s="45" t="n">
        <v>0</v>
      </c>
      <c r="C11" s="45" t="n">
        <v>0</v>
      </c>
      <c r="D11" s="45" t="n">
        <v>0</v>
      </c>
      <c r="E11" s="45" t="n">
        <v>0</v>
      </c>
      <c r="F11" s="45" t="n">
        <v>0</v>
      </c>
      <c r="G11" s="45" t="n">
        <v>0</v>
      </c>
      <c r="H11" s="46">
        <f>SUM(B11:G11)</f>
        <v/>
      </c>
      <c r="I11" s="16">
        <f>B11*Assumptions!B14+C11*Assumptions!B15+D11*Assumptions!B16</f>
        <v/>
      </c>
      <c r="J11" s="16">
        <f>E11*Assumptions!B20/12+F11*Assumptions!B21/12+G11*Assumptions!B22/12</f>
        <v/>
      </c>
      <c r="K11" s="32">
        <f>I11+J11</f>
        <v/>
      </c>
      <c r="L11" s="16">
        <f>B11*Assumptions!C14*(Assumptions!D14*Assumptions!B10+(1-Assumptions!D14)*Assumptions!B9)+C11*Assumptions!C15*(Assumptions!D15*Assumptions!B10+(1-Assumptions!D15)*Assumptions!B9)+D11*Assumptions!C16*(Assumptions!D16*Assumptions!B10+(1-Assumptions!D16)*Assumptions!B9)+E11*Assumptions!C20*(Assumptions!D20*Assumptions!B10+(1-Assumptions!D20)*Assumptions!B9)+F11*Assumptions!C21*(Assumptions!D21*Assumptions!B10+(1-Assumptions!D21)*Assumptions!B9)+G11*Assumptions!C22*(Assumptions!D22*Assumptions!B10+(1-Assumptions!D22)*Assumptions!B9)</f>
        <v/>
      </c>
      <c r="M11" s="47">
        <f>Assumptions!B31</f>
        <v/>
      </c>
      <c r="N11" s="32">
        <f>L11+M11</f>
        <v/>
      </c>
      <c r="O11" s="32">
        <f>K11-N11</f>
        <v/>
      </c>
      <c r="P11" s="48">
        <f>IFERROR((K11-N11)/K11,0)</f>
        <v/>
      </c>
    </row>
    <row r="12">
      <c r="A12" s="40" t="inlineStr">
        <is>
          <t>Nov 2026</t>
        </is>
      </c>
      <c r="B12" s="30" t="n">
        <v>0</v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41">
        <f>SUM(B12:G12)</f>
        <v/>
      </c>
      <c r="I12" s="11">
        <f>B12*Assumptions!B14+C12*Assumptions!B15+D12*Assumptions!B16</f>
        <v/>
      </c>
      <c r="J12" s="11">
        <f>E12*Assumptions!B20/12+F12*Assumptions!B21/12+G12*Assumptions!B22/12</f>
        <v/>
      </c>
      <c r="K12" s="42">
        <f>I12+J12</f>
        <v/>
      </c>
      <c r="L12" s="11">
        <f>B12*Assumptions!C14*(Assumptions!D14*Assumptions!B10+(1-Assumptions!D14)*Assumptions!B9)+C12*Assumptions!C15*(Assumptions!D15*Assumptions!B10+(1-Assumptions!D15)*Assumptions!B9)+D12*Assumptions!C16*(Assumptions!D16*Assumptions!B10+(1-Assumptions!D16)*Assumptions!B9)+E12*Assumptions!C20*(Assumptions!D20*Assumptions!B10+(1-Assumptions!D20)*Assumptions!B9)+F12*Assumptions!C21*(Assumptions!D21*Assumptions!B10+(1-Assumptions!D21)*Assumptions!B9)+G12*Assumptions!C22*(Assumptions!D22*Assumptions!B10+(1-Assumptions!D22)*Assumptions!B9)</f>
        <v/>
      </c>
      <c r="M12" s="43">
        <f>Assumptions!B31</f>
        <v/>
      </c>
      <c r="N12" s="42">
        <f>L12+M12</f>
        <v/>
      </c>
      <c r="O12" s="42">
        <f>K12-N12</f>
        <v/>
      </c>
      <c r="P12" s="44">
        <f>IFERROR((K12-N12)/K12,0)</f>
        <v/>
      </c>
    </row>
    <row r="13">
      <c r="A13" s="27" t="inlineStr">
        <is>
          <t>Dec 2026</t>
        </is>
      </c>
      <c r="B13" s="45" t="n">
        <v>0</v>
      </c>
      <c r="C13" s="45" t="n">
        <v>0</v>
      </c>
      <c r="D13" s="45" t="n">
        <v>0</v>
      </c>
      <c r="E13" s="45" t="n">
        <v>0</v>
      </c>
      <c r="F13" s="45" t="n">
        <v>0</v>
      </c>
      <c r="G13" s="45" t="n">
        <v>0</v>
      </c>
      <c r="H13" s="46">
        <f>SUM(B13:G13)</f>
        <v/>
      </c>
      <c r="I13" s="16">
        <f>B13*Assumptions!B14+C13*Assumptions!B15+D13*Assumptions!B16</f>
        <v/>
      </c>
      <c r="J13" s="16">
        <f>E13*Assumptions!B20/12+F13*Assumptions!B21/12+G13*Assumptions!B22/12</f>
        <v/>
      </c>
      <c r="K13" s="32">
        <f>I13+J13</f>
        <v/>
      </c>
      <c r="L13" s="16">
        <f>B13*Assumptions!C14*(Assumptions!D14*Assumptions!B10+(1-Assumptions!D14)*Assumptions!B9)+C13*Assumptions!C15*(Assumptions!D15*Assumptions!B10+(1-Assumptions!D15)*Assumptions!B9)+D13*Assumptions!C16*(Assumptions!D16*Assumptions!B10+(1-Assumptions!D16)*Assumptions!B9)+E13*Assumptions!C20*(Assumptions!D20*Assumptions!B10+(1-Assumptions!D20)*Assumptions!B9)+F13*Assumptions!C21*(Assumptions!D21*Assumptions!B10+(1-Assumptions!D21)*Assumptions!B9)+G13*Assumptions!C22*(Assumptions!D22*Assumptions!B10+(1-Assumptions!D22)*Assumptions!B9)</f>
        <v/>
      </c>
      <c r="M13" s="47">
        <f>Assumptions!B31</f>
        <v/>
      </c>
      <c r="N13" s="32">
        <f>L13+M13</f>
        <v/>
      </c>
      <c r="O13" s="32">
        <f>K13-N13</f>
        <v/>
      </c>
      <c r="P13" s="48">
        <f>IFERROR((K13-N13)/K13,0)</f>
        <v/>
      </c>
    </row>
    <row r="14">
      <c r="A14" s="40" t="inlineStr">
        <is>
          <t>Jan 2027</t>
        </is>
      </c>
      <c r="B14" s="30" t="n">
        <v>0</v>
      </c>
      <c r="C14" s="30" t="n">
        <v>0</v>
      </c>
      <c r="D14" s="30" t="n">
        <v>0</v>
      </c>
      <c r="E14" s="30" t="n">
        <v>0</v>
      </c>
      <c r="F14" s="30" t="n">
        <v>0</v>
      </c>
      <c r="G14" s="30" t="n">
        <v>0</v>
      </c>
      <c r="H14" s="41">
        <f>SUM(B14:G14)</f>
        <v/>
      </c>
      <c r="I14" s="11">
        <f>B14*Assumptions!B14+C14*Assumptions!B15+D14*Assumptions!B16</f>
        <v/>
      </c>
      <c r="J14" s="11">
        <f>E14*Assumptions!B20/12+F14*Assumptions!B21/12+G14*Assumptions!B22/12</f>
        <v/>
      </c>
      <c r="K14" s="42">
        <f>I14+J14</f>
        <v/>
      </c>
      <c r="L14" s="11">
        <f>B14*Assumptions!C14*(Assumptions!D14*Assumptions!B10+(1-Assumptions!D14)*Assumptions!B9)+C14*Assumptions!C15*(Assumptions!D15*Assumptions!B10+(1-Assumptions!D15)*Assumptions!B9)+D14*Assumptions!C16*(Assumptions!D16*Assumptions!B10+(1-Assumptions!D16)*Assumptions!B9)+E14*Assumptions!C20*(Assumptions!D20*Assumptions!B10+(1-Assumptions!D20)*Assumptions!B9)+F14*Assumptions!C21*(Assumptions!D21*Assumptions!B10+(1-Assumptions!D21)*Assumptions!B9)+G14*Assumptions!C22*(Assumptions!D22*Assumptions!B10+(1-Assumptions!D22)*Assumptions!B9)</f>
        <v/>
      </c>
      <c r="M14" s="43">
        <f>Assumptions!B31</f>
        <v/>
      </c>
      <c r="N14" s="42">
        <f>L14+M14</f>
        <v/>
      </c>
      <c r="O14" s="42">
        <f>K14-N14</f>
        <v/>
      </c>
      <c r="P14" s="44">
        <f>IFERROR((K14-N14)/K14,0)</f>
        <v/>
      </c>
    </row>
    <row r="15">
      <c r="A15" s="27" t="inlineStr">
        <is>
          <t>Feb 2027</t>
        </is>
      </c>
      <c r="B15" s="45" t="n">
        <v>0</v>
      </c>
      <c r="C15" s="45" t="n">
        <v>0</v>
      </c>
      <c r="D15" s="45" t="n">
        <v>0</v>
      </c>
      <c r="E15" s="45" t="n">
        <v>0</v>
      </c>
      <c r="F15" s="45" t="n">
        <v>0</v>
      </c>
      <c r="G15" s="45" t="n">
        <v>0</v>
      </c>
      <c r="H15" s="46">
        <f>SUM(B15:G15)</f>
        <v/>
      </c>
      <c r="I15" s="16">
        <f>B15*Assumptions!B14+C15*Assumptions!B15+D15*Assumptions!B16</f>
        <v/>
      </c>
      <c r="J15" s="16">
        <f>E15*Assumptions!B20/12+F15*Assumptions!B21/12+G15*Assumptions!B22/12</f>
        <v/>
      </c>
      <c r="K15" s="32">
        <f>I15+J15</f>
        <v/>
      </c>
      <c r="L15" s="16">
        <f>B15*Assumptions!C14*(Assumptions!D14*Assumptions!B10+(1-Assumptions!D14)*Assumptions!B9)+C15*Assumptions!C15*(Assumptions!D15*Assumptions!B10+(1-Assumptions!D15)*Assumptions!B9)+D15*Assumptions!C16*(Assumptions!D16*Assumptions!B10+(1-Assumptions!D16)*Assumptions!B9)+E15*Assumptions!C20*(Assumptions!D20*Assumptions!B10+(1-Assumptions!D20)*Assumptions!B9)+F15*Assumptions!C21*(Assumptions!D21*Assumptions!B10+(1-Assumptions!D21)*Assumptions!B9)+G15*Assumptions!C22*(Assumptions!D22*Assumptions!B10+(1-Assumptions!D22)*Assumptions!B9)</f>
        <v/>
      </c>
      <c r="M15" s="47">
        <f>Assumptions!B31</f>
        <v/>
      </c>
      <c r="N15" s="32">
        <f>L15+M15</f>
        <v/>
      </c>
      <c r="O15" s="32">
        <f>K15-N15</f>
        <v/>
      </c>
      <c r="P15" s="48">
        <f>IFERROR((K15-N15)/K15,0)</f>
        <v/>
      </c>
    </row>
    <row r="16" ht="22" customHeight="1">
      <c r="A16" s="49" t="inlineStr">
        <is>
          <t>ANNUAL TOTAL</t>
        </is>
      </c>
      <c r="B16" s="20">
        <f>SUM(B4:B15)</f>
        <v/>
      </c>
      <c r="C16" s="20">
        <f>SUM(C4:C15)</f>
        <v/>
      </c>
      <c r="D16" s="20">
        <f>SUM(D4:D15)</f>
        <v/>
      </c>
      <c r="E16" s="20">
        <f>SUM(E4:E15)</f>
        <v/>
      </c>
      <c r="F16" s="20">
        <f>SUM(F4:F15)</f>
        <v/>
      </c>
      <c r="G16" s="20">
        <f>SUM(G4:G15)</f>
        <v/>
      </c>
      <c r="H16" s="20">
        <f>SUM(H4:H15)</f>
        <v/>
      </c>
      <c r="I16" s="21">
        <f>SUM(I4:I15)</f>
        <v/>
      </c>
      <c r="J16" s="21">
        <f>SUM(J4:J15)</f>
        <v/>
      </c>
      <c r="K16" s="21">
        <f>SUM(K4:K15)</f>
        <v/>
      </c>
      <c r="L16" s="21">
        <f>SUM(L4:L15)</f>
        <v/>
      </c>
      <c r="M16" s="21">
        <f>SUM(M4:M15)</f>
        <v/>
      </c>
      <c r="N16" s="21">
        <f>SUM(N4:N15)</f>
        <v/>
      </c>
      <c r="O16" s="21">
        <f>SUM(O4:O15)</f>
        <v/>
      </c>
      <c r="P16" s="22">
        <f>IFERROR((K16-N16)/K16,0)</f>
        <v/>
      </c>
    </row>
  </sheetData>
  <mergeCells count="5">
    <mergeCell ref="B2:G2"/>
    <mergeCell ref="O2:P2"/>
    <mergeCell ref="I2:K2"/>
    <mergeCell ref="A1:P1"/>
    <mergeCell ref="L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2026-03-10T08:36:12Z</dcterms:created>
  <dcterms:modified xsi:type="dcterms:W3CDTF">2026-03-10T08:36:13Z</dcterms:modified>
</cp:coreProperties>
</file>